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10" activeTab="3"/>
  </bookViews>
  <sheets>
    <sheet name="plan 1_1" sheetId="1" r:id="rId1"/>
    <sheet name="Plan 1_2" sheetId="2" r:id="rId2"/>
    <sheet name="plan 2_1" sheetId="3" r:id="rId3"/>
    <sheet name="Plan 2_2" sheetId="4" r:id="rId4"/>
  </sheets>
  <calcPr calcId="144525"/>
</workbook>
</file>

<file path=xl/sharedStrings.xml><?xml version="1.0" encoding="utf-8"?>
<sst xmlns="http://schemas.openxmlformats.org/spreadsheetml/2006/main" count="454" uniqueCount="149">
  <si>
    <t>Line:</t>
  </si>
  <si>
    <t>NAME:</t>
  </si>
  <si>
    <t>Main assembly</t>
  </si>
  <si>
    <t>MACHINE:</t>
  </si>
  <si>
    <t>Machine ref</t>
  </si>
  <si>
    <t>Machine:</t>
  </si>
  <si>
    <t>Spacer fitting</t>
  </si>
  <si>
    <t>CODE</t>
  </si>
  <si>
    <t>A04</t>
  </si>
  <si>
    <t>CSS:</t>
  </si>
  <si>
    <t>LINE</t>
  </si>
  <si>
    <t>lineID</t>
  </si>
  <si>
    <t>machine ref</t>
  </si>
  <si>
    <t/>
  </si>
  <si>
    <t>VERIFIED</t>
  </si>
  <si>
    <t>REVISION NO:</t>
  </si>
  <si>
    <t>integer</t>
  </si>
  <si>
    <t>CSSParam:</t>
  </si>
  <si>
    <t>PARAM NAME:</t>
  </si>
  <si>
    <t>CSS</t>
  </si>
  <si>
    <t>cssref</t>
  </si>
  <si>
    <t>machineref</t>
  </si>
  <si>
    <t>REVISION DESC</t>
  </si>
  <si>
    <t>REVISION DONE BY:</t>
  </si>
  <si>
    <t>REVISION DATE:</t>
  </si>
  <si>
    <t>FREQUENCY:</t>
  </si>
  <si>
    <t>SPEC:</t>
  </si>
  <si>
    <t>INPUT TYPE:</t>
  </si>
  <si>
    <t>value</t>
  </si>
  <si>
    <t>PARAM:</t>
  </si>
  <si>
    <t>CSSParamRef</t>
  </si>
  <si>
    <t>VALUE:</t>
  </si>
  <si>
    <t>data</t>
  </si>
  <si>
    <t>todaysData REF</t>
  </si>
  <si>
    <t>SHIFT</t>
  </si>
  <si>
    <t>FILLED BY:</t>
  </si>
  <si>
    <t>QSS:</t>
  </si>
  <si>
    <t>QSSParamRef</t>
  </si>
  <si>
    <t>QSSParam:</t>
  </si>
  <si>
    <t>VALUES:</t>
  </si>
  <si>
    <t>[value ref1</t>
  </si>
  <si>
    <t>value ref2</t>
  </si>
  <si>
    <t>valueref3</t>
  </si>
  <si>
    <t>]</t>
  </si>
  <si>
    <t>VALUE TYPE</t>
  </si>
  <si>
    <t>TIMESTAMP</t>
  </si>
  <si>
    <t>PFU:</t>
  </si>
  <si>
    <t>PROBLEM</t>
  </si>
  <si>
    <t>DESC</t>
  </si>
  <si>
    <t>RAISING DEPT</t>
  </si>
  <si>
    <t>RAISING PERSON</t>
  </si>
  <si>
    <t>TARGET DATE</t>
  </si>
  <si>
    <t>STATUS</t>
  </si>
  <si>
    <t>ROOT CAUSE</t>
  </si>
  <si>
    <t>DEPT RESPONSIBLE</t>
  </si>
  <si>
    <t>RAISING DATE</t>
  </si>
  <si>
    <t>ACTUAL CLOSING DATE:</t>
  </si>
  <si>
    <t>action</t>
  </si>
  <si>
    <t>User</t>
  </si>
  <si>
    <t>DEPT</t>
  </si>
  <si>
    <t>ACCOUNT TYPE</t>
  </si>
  <si>
    <t>Admin</t>
  </si>
  <si>
    <t>PASSWORD</t>
  </si>
  <si>
    <t>admin@12345</t>
  </si>
  <si>
    <t>ACCESS</t>
  </si>
  <si>
    <t>pfu:</t>
  </si>
  <si>
    <t>css edit</t>
  </si>
  <si>
    <t>css view</t>
  </si>
  <si>
    <t>qss edit</t>
  </si>
  <si>
    <t>To be filled using node</t>
  </si>
  <si>
    <t>qss view</t>
  </si>
  <si>
    <t>depending on account type</t>
  </si>
  <si>
    <t>qss add</t>
  </si>
  <si>
    <t>css add</t>
  </si>
  <si>
    <t>add new user</t>
  </si>
  <si>
    <t>Purpose</t>
  </si>
  <si>
    <t>method</t>
  </si>
  <si>
    <t>input</t>
  </si>
  <si>
    <t>headers</t>
  </si>
  <si>
    <t>Output</t>
  </si>
  <si>
    <t>to authenticate using password, dept and username i.e. to send details of user based on authentication</t>
  </si>
  <si>
    <t>post</t>
  </si>
  <si>
    <t>dept,password,username</t>
  </si>
  <si>
    <t>-</t>
  </si>
  <si>
    <t>user details</t>
  </si>
  <si>
    <t>to authenticate admin using password ony</t>
  </si>
  <si>
    <t>password</t>
  </si>
  <si>
    <t>true/false</t>
  </si>
  <si>
    <t>to register user i.e. create new user based on account type, dept, password</t>
  </si>
  <si>
    <t>account type,dept, password</t>
  </si>
  <si>
    <t>to change password</t>
  </si>
  <si>
    <t>password, account type, dept</t>
  </si>
  <si>
    <t>get data of all line names and machine names</t>
  </si>
  <si>
    <t>get</t>
  </si>
  <si>
    <t>line data with machine ref</t>
  </si>
  <si>
    <t>to add new line</t>
  </si>
  <si>
    <t>line name</t>
  </si>
  <si>
    <t>line details</t>
  </si>
  <si>
    <t>to add machine</t>
  </si>
  <si>
    <t>machine name, machine code,line id</t>
  </si>
  <si>
    <t>machine details</t>
  </si>
  <si>
    <t>to get CSS parameters of machine</t>
  </si>
  <si>
    <t>machine ID in url</t>
  </si>
  <si>
    <t>get CSS data as response without values</t>
  </si>
  <si>
    <t>to get QSS parameters of machine</t>
  </si>
  <si>
    <t>get QSS data as response without values</t>
  </si>
  <si>
    <t>edit parameter and make a new excel file with name of revision and store it in the same month folder.</t>
  </si>
  <si>
    <t>put</t>
  </si>
  <si>
    <t>parameter ID, spec, name,</t>
  </si>
  <si>
    <t>get machine ref, parameters and their spec as response</t>
  </si>
  <si>
    <t>delete parameter</t>
  </si>
  <si>
    <t>param ID</t>
  </si>
  <si>
    <t>add{CSS/QSS}parameter</t>
  </si>
  <si>
    <t>name,spec, input type, frequency</t>
  </si>
  <si>
    <t>addCSSdata</t>
  </si>
  <si>
    <t>array of map of paramID and value</t>
  </si>
  <si>
    <t>200Ok</t>
  </si>
  <si>
    <t>addQSSdata</t>
  </si>
  <si>
    <t>200OK</t>
  </si>
  <si>
    <t>to get CSS/QSS data of a month from excel file.</t>
  </si>
  <si>
    <t>year, month,CSS,QSS,machineID</t>
  </si>
  <si>
    <t>CSS/QSS data which is verified</t>
  </si>
  <si>
    <t>to get excel file of CSS and QSS</t>
  </si>
  <si>
    <t>year, month,CSS,QSS</t>
  </si>
  <si>
    <t>excel file</t>
  </si>
  <si>
    <t>to get unverified data of a machine</t>
  </si>
  <si>
    <t>machineID in url, CSS/QSS</t>
  </si>
  <si>
    <t>get unverified data of machine</t>
  </si>
  <si>
    <t>make the data verified and save the css/qss data in excel sheets and delete from mongo db.</t>
  </si>
  <si>
    <t>machineID, CSS/QSS</t>
  </si>
  <si>
    <t>generate PFU</t>
  </si>
  <si>
    <t>problem,desc, raising dept., dept. responsible, status=0, root cause=0, targetdate=0 action=0</t>
  </si>
  <si>
    <t>to send all pfu from a date to date.</t>
  </si>
  <si>
    <t>from date, to date, open/closed/all</t>
  </si>
  <si>
    <t>send data of PFU depending on status from a date to a date ofopening</t>
  </si>
  <si>
    <t>to edit a PFU</t>
  </si>
  <si>
    <t>status, root cause, action, dept. resp., target date</t>
  </si>
  <si>
    <t>to copy all parameters of a machine to another machine</t>
  </si>
  <si>
    <t>sourcemachine, sourceline, destinationmachine, destinationline</t>
  </si>
  <si>
    <t>{map of spec}</t>
  </si>
  <si>
    <t>username</t>
  </si>
  <si>
    <t>to authenticate admin using password only</t>
  </si>
  <si>
    <t>username,ccount type,dept, password</t>
  </si>
  <si>
    <t>to get CSS/QSS data of a month</t>
  </si>
  <si>
    <t>to filter PFU data</t>
  </si>
  <si>
    <t>rejectPFU</t>
  </si>
  <si>
    <t>acceptPFU</t>
  </si>
  <si>
    <t>deletePFU</t>
  </si>
  <si>
    <t>reSubmitPFU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</si>
</sst>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i/>
      <u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1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17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27" borderId="8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5" fillId="26" borderId="7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2" fillId="5" borderId="0" xfId="0" applyFont="1" applyFill="1">
      <alignment vertical="center"/>
    </xf>
    <xf numFmtId="0" fontId="3" fillId="0" borderId="0" xfId="1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361950</xdr:colOff>
      <xdr:row>74</xdr:row>
      <xdr:rowOff>38100</xdr:rowOff>
    </xdr:from>
    <xdr:to>
      <xdr:col>6</xdr:col>
      <xdr:colOff>752475</xdr:colOff>
      <xdr:row>81</xdr:row>
      <xdr:rowOff>180975</xdr:rowOff>
    </xdr:to>
    <xdr:sp>
      <xdr:nvSpPr>
        <xdr:cNvPr id="3" name="Right Brace 2"/>
        <xdr:cNvSpPr/>
      </xdr:nvSpPr>
      <xdr:spPr>
        <a:xfrm>
          <a:off x="5629275" y="14135100"/>
          <a:ext cx="390525" cy="1476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361950</xdr:colOff>
      <xdr:row>75</xdr:row>
      <xdr:rowOff>38100</xdr:rowOff>
    </xdr:from>
    <xdr:to>
      <xdr:col>6</xdr:col>
      <xdr:colOff>752475</xdr:colOff>
      <xdr:row>82</xdr:row>
      <xdr:rowOff>180975</xdr:rowOff>
    </xdr:to>
    <xdr:sp>
      <xdr:nvSpPr>
        <xdr:cNvPr id="2" name="Right Brace 1"/>
        <xdr:cNvSpPr/>
      </xdr:nvSpPr>
      <xdr:spPr>
        <a:xfrm>
          <a:off x="5629275" y="14325600"/>
          <a:ext cx="390525" cy="1476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45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45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I92"/>
  <sheetViews>
    <sheetView workbookViewId="0">
      <selection activeCell="B7" sqref="B7:F7"/>
    </sheetView>
  </sheetViews>
  <sheetFormatPr defaultColWidth="9.14285714285714" defaultRowHeight="15"/>
  <cols>
    <col min="3" max="3" width="13" customWidth="1"/>
    <col min="4" max="4" width="19.4285714285714" customWidth="1"/>
    <col min="5" max="5" width="15.2857142857143" customWidth="1"/>
    <col min="6" max="10" width="13" customWidth="1"/>
  </cols>
  <sheetData>
    <row r="5" spans="3:5">
      <c r="C5" t="s">
        <v>0</v>
      </c>
      <c r="D5" t="s">
        <v>1</v>
      </c>
      <c r="E5" t="s">
        <v>2</v>
      </c>
    </row>
    <row r="6" spans="4:5">
      <c r="D6" t="s">
        <v>3</v>
      </c>
      <c r="E6" t="s">
        <v>4</v>
      </c>
    </row>
    <row r="8" spans="3:3">
      <c r="C8" t="s">
        <v>5</v>
      </c>
    </row>
    <row r="9" spans="4:5">
      <c r="D9" t="s">
        <v>1</v>
      </c>
      <c r="E9" t="s">
        <v>6</v>
      </c>
    </row>
    <row r="10" spans="4:5">
      <c r="D10" t="s">
        <v>7</v>
      </c>
      <c r="E10" t="s">
        <v>8</v>
      </c>
    </row>
    <row r="11" spans="3:5">
      <c r="C11" t="s">
        <v>9</v>
      </c>
      <c r="D11" t="s">
        <v>10</v>
      </c>
      <c r="E11" t="s">
        <v>11</v>
      </c>
    </row>
    <row r="12" spans="4:5">
      <c r="D12" t="s">
        <v>3</v>
      </c>
      <c r="E12" t="s">
        <v>12</v>
      </c>
    </row>
    <row r="13" spans="4:4">
      <c r="D13" t="s">
        <v>13</v>
      </c>
    </row>
    <row r="14" spans="4:4">
      <c r="D14" t="s">
        <v>14</v>
      </c>
    </row>
    <row r="15" spans="4:5">
      <c r="D15" t="s">
        <v>15</v>
      </c>
      <c r="E15" s="15" t="s">
        <v>16</v>
      </c>
    </row>
    <row r="16" spans="3:4">
      <c r="C16" t="s">
        <v>17</v>
      </c>
      <c r="D16" t="s">
        <v>18</v>
      </c>
    </row>
    <row r="17" spans="4:8">
      <c r="D17" s="16" t="s">
        <v>19</v>
      </c>
      <c r="E17" s="16" t="s">
        <v>20</v>
      </c>
      <c r="F17" s="16"/>
      <c r="G17" s="16"/>
      <c r="H17" s="16"/>
    </row>
    <row r="18" spans="4:5">
      <c r="D18" t="s">
        <v>3</v>
      </c>
      <c r="E18" t="s">
        <v>21</v>
      </c>
    </row>
    <row r="19" spans="4:4">
      <c r="D19" t="s">
        <v>15</v>
      </c>
    </row>
    <row r="20" spans="4:4">
      <c r="D20" t="s">
        <v>22</v>
      </c>
    </row>
    <row r="21" spans="4:4">
      <c r="D21" t="s">
        <v>23</v>
      </c>
    </row>
    <row r="22" spans="4:4">
      <c r="D22" t="s">
        <v>24</v>
      </c>
    </row>
    <row r="23" spans="4:4">
      <c r="D23" t="s">
        <v>25</v>
      </c>
    </row>
    <row r="24" spans="4:4">
      <c r="D24" t="s">
        <v>26</v>
      </c>
    </row>
    <row r="25" spans="4:4">
      <c r="D25" t="s">
        <v>27</v>
      </c>
    </row>
    <row r="26" spans="4:4">
      <c r="D26" t="s">
        <v>13</v>
      </c>
    </row>
    <row r="31" spans="4:4">
      <c r="D31" t="s">
        <v>13</v>
      </c>
    </row>
    <row r="32" spans="3:5">
      <c r="C32" t="s">
        <v>28</v>
      </c>
      <c r="D32" t="s">
        <v>3</v>
      </c>
      <c r="E32" t="s">
        <v>21</v>
      </c>
    </row>
    <row r="33" spans="4:5">
      <c r="D33" t="s">
        <v>29</v>
      </c>
      <c r="E33" t="s">
        <v>30</v>
      </c>
    </row>
    <row r="34" spans="4:4">
      <c r="D34" t="s">
        <v>31</v>
      </c>
    </row>
    <row r="35" spans="4:5">
      <c r="D35" t="s">
        <v>32</v>
      </c>
      <c r="E35" t="s">
        <v>33</v>
      </c>
    </row>
    <row r="36" spans="4:4">
      <c r="D36" t="s">
        <v>13</v>
      </c>
    </row>
    <row r="37" spans="4:4">
      <c r="D37" t="s">
        <v>34</v>
      </c>
    </row>
    <row r="38" spans="4:4">
      <c r="D38" t="s">
        <v>35</v>
      </c>
    </row>
    <row r="39" spans="4:4">
      <c r="D39" t="s">
        <v>13</v>
      </c>
    </row>
    <row r="40" spans="3:4">
      <c r="C40" t="s">
        <v>32</v>
      </c>
      <c r="D40" t="s">
        <v>13</v>
      </c>
    </row>
    <row r="41" spans="4:4">
      <c r="D41" t="s">
        <v>13</v>
      </c>
    </row>
    <row r="42" spans="4:4">
      <c r="D42" t="s">
        <v>13</v>
      </c>
    </row>
    <row r="43" spans="4:4">
      <c r="D43" t="s">
        <v>13</v>
      </c>
    </row>
    <row r="44" spans="4:4">
      <c r="D44" t="s">
        <v>13</v>
      </c>
    </row>
    <row r="45" spans="3:5">
      <c r="C45" t="s">
        <v>36</v>
      </c>
      <c r="D45" t="s">
        <v>3</v>
      </c>
      <c r="E45" t="s">
        <v>12</v>
      </c>
    </row>
    <row r="46" spans="4:5">
      <c r="D46" t="s">
        <v>29</v>
      </c>
      <c r="E46" t="s">
        <v>37</v>
      </c>
    </row>
    <row r="47" spans="4:5">
      <c r="D47" t="s">
        <v>15</v>
      </c>
      <c r="E47" s="15" t="s">
        <v>16</v>
      </c>
    </row>
    <row r="48" spans="3:4">
      <c r="C48" t="s">
        <v>38</v>
      </c>
      <c r="D48" t="s">
        <v>18</v>
      </c>
    </row>
    <row r="49" spans="4:8">
      <c r="D49" t="s">
        <v>39</v>
      </c>
      <c r="E49" t="s">
        <v>40</v>
      </c>
      <c r="F49" t="s">
        <v>41</v>
      </c>
      <c r="G49" t="s">
        <v>42</v>
      </c>
      <c r="H49" t="s">
        <v>43</v>
      </c>
    </row>
    <row r="50" spans="4:4">
      <c r="D50" t="s">
        <v>3</v>
      </c>
    </row>
    <row r="51" spans="4:4">
      <c r="D51" t="s">
        <v>15</v>
      </c>
    </row>
    <row r="52" spans="3:5">
      <c r="C52" t="s">
        <v>28</v>
      </c>
      <c r="D52" t="s">
        <v>29</v>
      </c>
      <c r="E52" t="s">
        <v>37</v>
      </c>
    </row>
    <row r="53" spans="4:4">
      <c r="D53" t="s">
        <v>31</v>
      </c>
    </row>
    <row r="54" spans="4:4">
      <c r="D54" t="s">
        <v>44</v>
      </c>
    </row>
    <row r="55" spans="4:4">
      <c r="D55" t="s">
        <v>45</v>
      </c>
    </row>
    <row r="56" spans="4:4">
      <c r="D56" t="s">
        <v>14</v>
      </c>
    </row>
    <row r="57" spans="4:4">
      <c r="D57" t="s">
        <v>34</v>
      </c>
    </row>
    <row r="58" spans="4:4">
      <c r="D58" t="s">
        <v>13</v>
      </c>
    </row>
    <row r="59" spans="3:6">
      <c r="C59" t="s">
        <v>46</v>
      </c>
      <c r="D59" t="s">
        <v>47</v>
      </c>
      <c r="F59" t="str">
        <f>CONCATENATE(LOWER(D59),":")</f>
        <v>problem:</v>
      </c>
    </row>
    <row r="60" spans="4:6">
      <c r="D60" t="s">
        <v>48</v>
      </c>
      <c r="F60" t="str">
        <f t="shared" ref="F60:F71" si="0">CONCATENATE(LOWER(D60),":")</f>
        <v>desc:</v>
      </c>
    </row>
    <row r="61" spans="4:6">
      <c r="D61" t="s">
        <v>49</v>
      </c>
      <c r="F61" t="str">
        <f t="shared" si="0"/>
        <v>raising dept:</v>
      </c>
    </row>
    <row r="62" spans="4:6">
      <c r="D62" t="s">
        <v>50</v>
      </c>
      <c r="F62" t="str">
        <f t="shared" si="0"/>
        <v>raising person:</v>
      </c>
    </row>
    <row r="63" spans="4:6">
      <c r="D63" t="s">
        <v>51</v>
      </c>
      <c r="F63" t="str">
        <f t="shared" si="0"/>
        <v>target date:</v>
      </c>
    </row>
    <row r="64" spans="4:6">
      <c r="D64" t="s">
        <v>52</v>
      </c>
      <c r="F64" t="str">
        <f t="shared" si="0"/>
        <v>status:</v>
      </c>
    </row>
    <row r="65" spans="4:6">
      <c r="D65" t="s">
        <v>53</v>
      </c>
      <c r="F65" t="str">
        <f t="shared" si="0"/>
        <v>root cause:</v>
      </c>
    </row>
    <row r="66" spans="4:6">
      <c r="D66" t="s">
        <v>54</v>
      </c>
      <c r="F66" t="str">
        <f t="shared" si="0"/>
        <v>dept responsible:</v>
      </c>
    </row>
    <row r="67" spans="4:6">
      <c r="D67" t="s">
        <v>55</v>
      </c>
      <c r="F67" t="str">
        <f t="shared" si="0"/>
        <v>raising date:</v>
      </c>
    </row>
    <row r="68" spans="4:6">
      <c r="D68" t="s">
        <v>56</v>
      </c>
      <c r="F68" t="str">
        <f t="shared" si="0"/>
        <v>actual closing date::</v>
      </c>
    </row>
    <row r="69" spans="4:6">
      <c r="D69" t="s">
        <v>3</v>
      </c>
      <c r="E69" t="s">
        <v>12</v>
      </c>
      <c r="F69" t="str">
        <f>CONCATENATE(LOWER(D69))</f>
        <v>machine:</v>
      </c>
    </row>
    <row r="70" spans="4:6">
      <c r="D70" t="s">
        <v>57</v>
      </c>
      <c r="F70" t="str">
        <f>CONCATENATE(LOWER(D70),":")</f>
        <v>action:</v>
      </c>
    </row>
    <row r="71" spans="4:6">
      <c r="D71" t="s">
        <v>13</v>
      </c>
      <c r="F71" t="str">
        <f>CONCATENATE(LOWER(D71))</f>
        <v/>
      </c>
    </row>
    <row r="72" spans="3:4">
      <c r="C72" t="s">
        <v>58</v>
      </c>
      <c r="D72" t="s">
        <v>59</v>
      </c>
    </row>
    <row r="73" spans="4:5">
      <c r="D73" t="s">
        <v>60</v>
      </c>
      <c r="E73" t="s">
        <v>61</v>
      </c>
    </row>
    <row r="74" spans="4:5">
      <c r="D74" t="s">
        <v>62</v>
      </c>
      <c r="E74" s="17" t="s">
        <v>63</v>
      </c>
    </row>
    <row r="75" spans="4:6">
      <c r="D75" t="s">
        <v>64</v>
      </c>
      <c r="E75" t="s">
        <v>65</v>
      </c>
      <c r="F75" t="b">
        <v>1</v>
      </c>
    </row>
    <row r="76" spans="5:6">
      <c r="E76" t="s">
        <v>66</v>
      </c>
      <c r="F76" t="b">
        <v>1</v>
      </c>
    </row>
    <row r="77" spans="5:5">
      <c r="E77" t="s">
        <v>67</v>
      </c>
    </row>
    <row r="78" spans="5:9">
      <c r="E78" t="s">
        <v>68</v>
      </c>
      <c r="H78" t="s">
        <v>69</v>
      </c>
      <c r="I78" t="str">
        <f t="shared" ref="I74:I92" si="1">UPPER(D78)</f>
        <v/>
      </c>
    </row>
    <row r="79" spans="5:9">
      <c r="E79" t="s">
        <v>70</v>
      </c>
      <c r="H79" t="s">
        <v>71</v>
      </c>
      <c r="I79" t="str">
        <f t="shared" si="1"/>
        <v/>
      </c>
    </row>
    <row r="80" spans="5:9">
      <c r="E80" t="s">
        <v>72</v>
      </c>
      <c r="I80" t="str">
        <f t="shared" si="1"/>
        <v/>
      </c>
    </row>
    <row r="81" spans="5:9">
      <c r="E81" t="s">
        <v>73</v>
      </c>
      <c r="I81" t="str">
        <f t="shared" si="1"/>
        <v/>
      </c>
    </row>
    <row r="82" spans="5:9">
      <c r="E82" t="s">
        <v>74</v>
      </c>
      <c r="F82" t="b">
        <v>1</v>
      </c>
      <c r="I82" t="str">
        <f t="shared" si="1"/>
        <v/>
      </c>
    </row>
    <row r="83" spans="9:9">
      <c r="I83" t="str">
        <f t="shared" si="1"/>
        <v/>
      </c>
    </row>
    <row r="84" spans="9:9">
      <c r="I84" t="str">
        <f t="shared" si="1"/>
        <v/>
      </c>
    </row>
    <row r="85" spans="9:9">
      <c r="I85" t="str">
        <f t="shared" si="1"/>
        <v/>
      </c>
    </row>
    <row r="86" spans="9:9">
      <c r="I86" t="str">
        <f t="shared" si="1"/>
        <v/>
      </c>
    </row>
    <row r="87" spans="9:9">
      <c r="I87" t="str">
        <f t="shared" si="1"/>
        <v/>
      </c>
    </row>
    <row r="88" spans="9:9">
      <c r="I88" t="str">
        <f t="shared" si="1"/>
        <v/>
      </c>
    </row>
    <row r="89" spans="9:9">
      <c r="I89" t="str">
        <f t="shared" si="1"/>
        <v/>
      </c>
    </row>
    <row r="90" spans="9:9">
      <c r="I90" t="str">
        <f t="shared" si="1"/>
        <v/>
      </c>
    </row>
    <row r="91" spans="9:9">
      <c r="I91" t="str">
        <f t="shared" si="1"/>
        <v/>
      </c>
    </row>
    <row r="92" spans="9:9">
      <c r="I92" t="str">
        <f t="shared" si="1"/>
        <v/>
      </c>
    </row>
  </sheetData>
  <hyperlinks>
    <hyperlink ref="E74" r:id="rId2" display="admin@12345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0"/>
  <sheetViews>
    <sheetView workbookViewId="0">
      <selection activeCell="C17" sqref="C17"/>
    </sheetView>
  </sheetViews>
  <sheetFormatPr defaultColWidth="9.14285714285714" defaultRowHeight="15" outlineLevelCol="5"/>
  <cols>
    <col min="2" max="2" width="99.4285714285714" customWidth="1"/>
    <col min="3" max="3" width="8.85714285714286" customWidth="1"/>
    <col min="4" max="4" width="45.7142857142857" customWidth="1"/>
    <col min="5" max="5" width="16.1428571428571" style="2" customWidth="1"/>
    <col min="6" max="6" width="49.4285714285714" customWidth="1"/>
  </cols>
  <sheetData>
    <row r="2" spans="2:6">
      <c r="B2" s="3" t="s">
        <v>75</v>
      </c>
      <c r="C2" s="3" t="s">
        <v>76</v>
      </c>
      <c r="D2" s="3" t="s">
        <v>77</v>
      </c>
      <c r="E2" s="4" t="s">
        <v>78</v>
      </c>
      <c r="F2" s="3" t="s">
        <v>79</v>
      </c>
    </row>
    <row r="3" spans="1:6">
      <c r="A3">
        <v>1</v>
      </c>
      <c r="B3" t="s">
        <v>80</v>
      </c>
      <c r="C3" t="s">
        <v>81</v>
      </c>
      <c r="D3" t="s">
        <v>82</v>
      </c>
      <c r="E3" s="2" t="s">
        <v>83</v>
      </c>
      <c r="F3" t="s">
        <v>84</v>
      </c>
    </row>
    <row r="4" spans="1:6">
      <c r="A4">
        <v>2</v>
      </c>
      <c r="B4" t="s">
        <v>85</v>
      </c>
      <c r="C4" t="s">
        <v>81</v>
      </c>
      <c r="D4" t="s">
        <v>86</v>
      </c>
      <c r="E4" s="2" t="s">
        <v>83</v>
      </c>
      <c r="F4" t="s">
        <v>87</v>
      </c>
    </row>
    <row r="5" spans="1:6">
      <c r="A5">
        <v>3</v>
      </c>
      <c r="B5" t="s">
        <v>88</v>
      </c>
      <c r="C5" t="s">
        <v>81</v>
      </c>
      <c r="D5" t="s">
        <v>89</v>
      </c>
      <c r="E5" s="2" t="s">
        <v>83</v>
      </c>
      <c r="F5" t="s">
        <v>84</v>
      </c>
    </row>
    <row r="6" spans="1:6">
      <c r="A6">
        <v>4</v>
      </c>
      <c r="B6" t="s">
        <v>90</v>
      </c>
      <c r="C6" t="s">
        <v>81</v>
      </c>
      <c r="D6" t="s">
        <v>91</v>
      </c>
      <c r="E6" s="2" t="s">
        <v>83</v>
      </c>
      <c r="F6" t="s">
        <v>84</v>
      </c>
    </row>
    <row r="7" spans="1:6">
      <c r="A7">
        <v>5</v>
      </c>
      <c r="B7" s="5" t="s">
        <v>92</v>
      </c>
      <c r="C7" s="5" t="s">
        <v>93</v>
      </c>
      <c r="D7" s="5" t="s">
        <v>83</v>
      </c>
      <c r="E7" s="6" t="s">
        <v>83</v>
      </c>
      <c r="F7" s="5" t="s">
        <v>94</v>
      </c>
    </row>
    <row r="8" spans="1:6">
      <c r="A8">
        <v>6</v>
      </c>
      <c r="B8" s="5" t="s">
        <v>95</v>
      </c>
      <c r="C8" s="5" t="s">
        <v>81</v>
      </c>
      <c r="D8" s="5" t="s">
        <v>96</v>
      </c>
      <c r="E8" s="6" t="s">
        <v>83</v>
      </c>
      <c r="F8" s="5" t="s">
        <v>97</v>
      </c>
    </row>
    <row r="9" spans="1:6">
      <c r="A9">
        <v>7</v>
      </c>
      <c r="B9" s="5" t="s">
        <v>98</v>
      </c>
      <c r="C9" s="5" t="s">
        <v>81</v>
      </c>
      <c r="D9" s="5" t="s">
        <v>99</v>
      </c>
      <c r="E9" s="6" t="s">
        <v>83</v>
      </c>
      <c r="F9" s="5" t="s">
        <v>100</v>
      </c>
    </row>
    <row r="10" spans="1:6">
      <c r="A10">
        <v>8</v>
      </c>
      <c r="B10" t="s">
        <v>101</v>
      </c>
      <c r="C10" t="s">
        <v>93</v>
      </c>
      <c r="D10" t="s">
        <v>102</v>
      </c>
      <c r="E10" s="2" t="s">
        <v>83</v>
      </c>
      <c r="F10" t="s">
        <v>103</v>
      </c>
    </row>
    <row r="11" spans="1:6">
      <c r="A11">
        <v>9</v>
      </c>
      <c r="B11" t="s">
        <v>104</v>
      </c>
      <c r="C11" t="s">
        <v>93</v>
      </c>
      <c r="D11" t="s">
        <v>102</v>
      </c>
      <c r="E11" s="2" t="s">
        <v>83</v>
      </c>
      <c r="F11" t="s">
        <v>105</v>
      </c>
    </row>
    <row r="12" s="1" customFormat="1" spans="1:6">
      <c r="A12" s="1">
        <v>10</v>
      </c>
      <c r="B12" s="1" t="s">
        <v>106</v>
      </c>
      <c r="C12" s="1" t="s">
        <v>107</v>
      </c>
      <c r="D12" s="1" t="s">
        <v>108</v>
      </c>
      <c r="E12" s="18" t="s">
        <v>83</v>
      </c>
      <c r="F12" s="1" t="s">
        <v>109</v>
      </c>
    </row>
    <row r="13" spans="1:6">
      <c r="A13">
        <v>11</v>
      </c>
      <c r="B13" t="s">
        <v>110</v>
      </c>
      <c r="C13" t="s">
        <v>81</v>
      </c>
      <c r="D13" t="s">
        <v>111</v>
      </c>
      <c r="E13" s="2" t="s">
        <v>83</v>
      </c>
      <c r="F13" s="1" t="s">
        <v>109</v>
      </c>
    </row>
    <row r="14" spans="1:6">
      <c r="A14">
        <v>12</v>
      </c>
      <c r="B14" t="s">
        <v>112</v>
      </c>
      <c r="C14" t="s">
        <v>81</v>
      </c>
      <c r="D14" t="s">
        <v>113</v>
      </c>
      <c r="E14" s="2" t="s">
        <v>83</v>
      </c>
      <c r="F14" s="1" t="s">
        <v>109</v>
      </c>
    </row>
    <row r="15" spans="1:6">
      <c r="A15">
        <v>13</v>
      </c>
      <c r="B15" t="s">
        <v>114</v>
      </c>
      <c r="C15" t="s">
        <v>81</v>
      </c>
      <c r="D15" t="s">
        <v>115</v>
      </c>
      <c r="E15" s="2" t="s">
        <v>83</v>
      </c>
      <c r="F15" t="s">
        <v>116</v>
      </c>
    </row>
    <row r="16" spans="1:6">
      <c r="A16">
        <v>14</v>
      </c>
      <c r="B16" t="s">
        <v>117</v>
      </c>
      <c r="C16" t="s">
        <v>81</v>
      </c>
      <c r="D16" t="s">
        <v>115</v>
      </c>
      <c r="E16" s="2" t="s">
        <v>83</v>
      </c>
      <c r="F16" t="s">
        <v>118</v>
      </c>
    </row>
    <row r="17" spans="1:6">
      <c r="A17">
        <v>15</v>
      </c>
      <c r="B17" t="s">
        <v>119</v>
      </c>
      <c r="C17" t="s">
        <v>93</v>
      </c>
      <c r="D17" t="s">
        <v>120</v>
      </c>
      <c r="E17" s="2" t="s">
        <v>83</v>
      </c>
      <c r="F17" t="s">
        <v>121</v>
      </c>
    </row>
    <row r="18" spans="1:6">
      <c r="A18">
        <v>16</v>
      </c>
      <c r="B18" t="s">
        <v>122</v>
      </c>
      <c r="C18" t="s">
        <v>93</v>
      </c>
      <c r="D18" t="s">
        <v>123</v>
      </c>
      <c r="E18" s="2" t="s">
        <v>83</v>
      </c>
      <c r="F18" t="s">
        <v>124</v>
      </c>
    </row>
    <row r="19" spans="1:6">
      <c r="A19">
        <v>17</v>
      </c>
      <c r="B19" t="s">
        <v>125</v>
      </c>
      <c r="C19" t="s">
        <v>93</v>
      </c>
      <c r="D19" t="s">
        <v>126</v>
      </c>
      <c r="E19" s="2" t="s">
        <v>83</v>
      </c>
      <c r="F19" t="s">
        <v>127</v>
      </c>
    </row>
    <row r="20" spans="1:6">
      <c r="A20">
        <v>18</v>
      </c>
      <c r="B20" t="s">
        <v>128</v>
      </c>
      <c r="C20" t="s">
        <v>81</v>
      </c>
      <c r="D20" t="s">
        <v>129</v>
      </c>
      <c r="E20" s="2" t="s">
        <v>83</v>
      </c>
      <c r="F20" t="s">
        <v>118</v>
      </c>
    </row>
    <row r="21" ht="30" spans="1:6">
      <c r="A21">
        <v>19</v>
      </c>
      <c r="B21" t="s">
        <v>130</v>
      </c>
      <c r="C21" t="s">
        <v>81</v>
      </c>
      <c r="D21" s="19" t="s">
        <v>131</v>
      </c>
      <c r="E21" s="2" t="s">
        <v>83</v>
      </c>
      <c r="F21" t="s">
        <v>118</v>
      </c>
    </row>
    <row r="22" spans="1:6">
      <c r="A22">
        <v>20</v>
      </c>
      <c r="B22" t="s">
        <v>132</v>
      </c>
      <c r="C22" t="s">
        <v>93</v>
      </c>
      <c r="D22" t="s">
        <v>133</v>
      </c>
      <c r="E22" s="2" t="s">
        <v>83</v>
      </c>
      <c r="F22" t="s">
        <v>134</v>
      </c>
    </row>
    <row r="23" spans="1:6">
      <c r="A23">
        <v>21</v>
      </c>
      <c r="B23" t="s">
        <v>135</v>
      </c>
      <c r="C23" t="s">
        <v>81</v>
      </c>
      <c r="D23" t="s">
        <v>136</v>
      </c>
      <c r="E23" s="2" t="s">
        <v>83</v>
      </c>
      <c r="F23" t="s">
        <v>134</v>
      </c>
    </row>
    <row r="24" ht="30" spans="1:6">
      <c r="A24">
        <v>22</v>
      </c>
      <c r="B24" t="s">
        <v>137</v>
      </c>
      <c r="C24" t="s">
        <v>81</v>
      </c>
      <c r="D24" s="19" t="s">
        <v>138</v>
      </c>
      <c r="E24" s="2" t="s">
        <v>83</v>
      </c>
      <c r="F24" t="s">
        <v>116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I92"/>
  <sheetViews>
    <sheetView topLeftCell="A43" workbookViewId="0">
      <selection activeCell="E73" sqref="E73"/>
    </sheetView>
  </sheetViews>
  <sheetFormatPr defaultColWidth="9.14285714285714" defaultRowHeight="15"/>
  <cols>
    <col min="3" max="3" width="13" customWidth="1"/>
    <col min="4" max="4" width="19.4285714285714" customWidth="1"/>
    <col min="5" max="5" width="15.2857142857143" customWidth="1"/>
    <col min="6" max="10" width="13" customWidth="1"/>
  </cols>
  <sheetData>
    <row r="5" spans="3:5">
      <c r="C5" t="s">
        <v>0</v>
      </c>
      <c r="D5" t="s">
        <v>1</v>
      </c>
      <c r="E5" t="s">
        <v>2</v>
      </c>
    </row>
    <row r="6" spans="4:5">
      <c r="D6" t="s">
        <v>3</v>
      </c>
      <c r="E6" t="s">
        <v>4</v>
      </c>
    </row>
    <row r="8" spans="3:3">
      <c r="C8" t="s">
        <v>5</v>
      </c>
    </row>
    <row r="9" spans="4:5">
      <c r="D9" t="s">
        <v>1</v>
      </c>
      <c r="E9" t="s">
        <v>6</v>
      </c>
    </row>
    <row r="10" spans="4:5">
      <c r="D10" t="s">
        <v>7</v>
      </c>
      <c r="E10" t="s">
        <v>8</v>
      </c>
    </row>
    <row r="11" spans="3:5">
      <c r="C11" t="s">
        <v>9</v>
      </c>
      <c r="D11" t="s">
        <v>10</v>
      </c>
      <c r="E11" t="s">
        <v>11</v>
      </c>
    </row>
    <row r="12" spans="4:5">
      <c r="D12" t="s">
        <v>3</v>
      </c>
      <c r="E12" t="s">
        <v>12</v>
      </c>
    </row>
    <row r="13" spans="4:4">
      <c r="D13" t="s">
        <v>13</v>
      </c>
    </row>
    <row r="14" spans="4:4">
      <c r="D14" t="s">
        <v>14</v>
      </c>
    </row>
    <row r="15" spans="4:5">
      <c r="D15" t="s">
        <v>15</v>
      </c>
      <c r="E15" s="15" t="s">
        <v>16</v>
      </c>
    </row>
    <row r="16" spans="3:4">
      <c r="C16" t="s">
        <v>17</v>
      </c>
      <c r="D16" t="s">
        <v>18</v>
      </c>
    </row>
    <row r="17" spans="4:8">
      <c r="D17" s="16" t="s">
        <v>19</v>
      </c>
      <c r="E17" s="16" t="s">
        <v>20</v>
      </c>
      <c r="F17" s="16"/>
      <c r="G17" s="16"/>
      <c r="H17" s="16"/>
    </row>
    <row r="18" spans="4:5">
      <c r="D18" t="s">
        <v>3</v>
      </c>
      <c r="E18" t="s">
        <v>21</v>
      </c>
    </row>
    <row r="19" spans="4:4">
      <c r="D19" t="s">
        <v>15</v>
      </c>
    </row>
    <row r="20" spans="4:4">
      <c r="D20" t="s">
        <v>22</v>
      </c>
    </row>
    <row r="21" spans="4:4">
      <c r="D21" t="s">
        <v>23</v>
      </c>
    </row>
    <row r="22" spans="4:4">
      <c r="D22" t="s">
        <v>24</v>
      </c>
    </row>
    <row r="23" spans="4:4">
      <c r="D23" t="s">
        <v>25</v>
      </c>
    </row>
    <row r="24" spans="4:5">
      <c r="D24" t="s">
        <v>26</v>
      </c>
      <c r="E24" t="s">
        <v>139</v>
      </c>
    </row>
    <row r="25" spans="4:4">
      <c r="D25" t="s">
        <v>27</v>
      </c>
    </row>
    <row r="26" spans="4:4">
      <c r="D26" t="s">
        <v>13</v>
      </c>
    </row>
    <row r="31" spans="4:4">
      <c r="D31" t="s">
        <v>13</v>
      </c>
    </row>
    <row r="32" spans="3:5">
      <c r="C32" t="s">
        <v>28</v>
      </c>
      <c r="D32" t="s">
        <v>3</v>
      </c>
      <c r="E32" t="s">
        <v>21</v>
      </c>
    </row>
    <row r="33" spans="4:5">
      <c r="D33" t="s">
        <v>29</v>
      </c>
      <c r="E33" t="s">
        <v>30</v>
      </c>
    </row>
    <row r="34" spans="4:4">
      <c r="D34" t="s">
        <v>31</v>
      </c>
    </row>
    <row r="35" spans="4:5">
      <c r="D35" t="s">
        <v>32</v>
      </c>
      <c r="E35" t="s">
        <v>33</v>
      </c>
    </row>
    <row r="36" spans="4:4">
      <c r="D36" t="s">
        <v>13</v>
      </c>
    </row>
    <row r="37" spans="4:4">
      <c r="D37" t="s">
        <v>34</v>
      </c>
    </row>
    <row r="38" spans="4:4">
      <c r="D38" t="s">
        <v>35</v>
      </c>
    </row>
    <row r="39" spans="4:4">
      <c r="D39" t="s">
        <v>13</v>
      </c>
    </row>
    <row r="40" spans="3:4">
      <c r="C40" t="s">
        <v>32</v>
      </c>
      <c r="D40" t="s">
        <v>13</v>
      </c>
    </row>
    <row r="41" spans="4:4">
      <c r="D41" t="s">
        <v>13</v>
      </c>
    </row>
    <row r="42" spans="4:4">
      <c r="D42" t="s">
        <v>13</v>
      </c>
    </row>
    <row r="43" spans="4:4">
      <c r="D43" t="s">
        <v>13</v>
      </c>
    </row>
    <row r="44" spans="4:4">
      <c r="D44" t="s">
        <v>13</v>
      </c>
    </row>
    <row r="45" spans="3:5">
      <c r="C45" t="s">
        <v>36</v>
      </c>
      <c r="D45" t="s">
        <v>3</v>
      </c>
      <c r="E45" t="s">
        <v>12</v>
      </c>
    </row>
    <row r="46" spans="4:5">
      <c r="D46" t="s">
        <v>29</v>
      </c>
      <c r="E46" t="s">
        <v>37</v>
      </c>
    </row>
    <row r="47" spans="4:5">
      <c r="D47" t="s">
        <v>15</v>
      </c>
      <c r="E47" s="15" t="s">
        <v>16</v>
      </c>
    </row>
    <row r="48" spans="3:4">
      <c r="C48" t="s">
        <v>38</v>
      </c>
      <c r="D48" t="s">
        <v>18</v>
      </c>
    </row>
    <row r="49" spans="4:8">
      <c r="D49" t="s">
        <v>39</v>
      </c>
      <c r="E49" t="s">
        <v>40</v>
      </c>
      <c r="F49" t="s">
        <v>41</v>
      </c>
      <c r="G49" t="s">
        <v>42</v>
      </c>
      <c r="H49" t="s">
        <v>43</v>
      </c>
    </row>
    <row r="50" spans="4:4">
      <c r="D50" t="s">
        <v>3</v>
      </c>
    </row>
    <row r="51" spans="4:4">
      <c r="D51" t="s">
        <v>15</v>
      </c>
    </row>
    <row r="52" spans="3:5">
      <c r="C52" t="s">
        <v>28</v>
      </c>
      <c r="D52" t="s">
        <v>29</v>
      </c>
      <c r="E52" t="s">
        <v>37</v>
      </c>
    </row>
    <row r="53" spans="4:4">
      <c r="D53" t="s">
        <v>31</v>
      </c>
    </row>
    <row r="54" spans="4:4">
      <c r="D54" t="s">
        <v>44</v>
      </c>
    </row>
    <row r="55" spans="4:4">
      <c r="D55" t="s">
        <v>45</v>
      </c>
    </row>
    <row r="56" spans="4:4">
      <c r="D56" t="s">
        <v>14</v>
      </c>
    </row>
    <row r="57" spans="4:4">
      <c r="D57" t="s">
        <v>34</v>
      </c>
    </row>
    <row r="58" spans="4:4">
      <c r="D58" t="s">
        <v>13</v>
      </c>
    </row>
    <row r="59" spans="3:6">
      <c r="C59" t="s">
        <v>46</v>
      </c>
      <c r="D59" t="s">
        <v>47</v>
      </c>
      <c r="F59" t="str">
        <f t="shared" ref="F59:F68" si="0">CONCATENATE(LOWER(D59),":")</f>
        <v>problem:</v>
      </c>
    </row>
    <row r="60" spans="4:6">
      <c r="D60" t="s">
        <v>48</v>
      </c>
      <c r="F60" t="str">
        <f t="shared" si="0"/>
        <v>desc:</v>
      </c>
    </row>
    <row r="61" spans="4:6">
      <c r="D61" t="s">
        <v>49</v>
      </c>
      <c r="F61" t="str">
        <f t="shared" si="0"/>
        <v>raising dept:</v>
      </c>
    </row>
    <row r="62" spans="4:6">
      <c r="D62" t="s">
        <v>50</v>
      </c>
      <c r="F62" t="str">
        <f t="shared" si="0"/>
        <v>raising person:</v>
      </c>
    </row>
    <row r="63" spans="4:6">
      <c r="D63" t="s">
        <v>51</v>
      </c>
      <c r="F63" t="str">
        <f t="shared" si="0"/>
        <v>target date:</v>
      </c>
    </row>
    <row r="64" spans="4:6">
      <c r="D64" t="s">
        <v>52</v>
      </c>
      <c r="F64" t="str">
        <f t="shared" si="0"/>
        <v>status:</v>
      </c>
    </row>
    <row r="65" spans="4:6">
      <c r="D65" t="s">
        <v>53</v>
      </c>
      <c r="F65" t="str">
        <f t="shared" si="0"/>
        <v>root cause:</v>
      </c>
    </row>
    <row r="66" spans="4:6">
      <c r="D66" t="s">
        <v>54</v>
      </c>
      <c r="F66" t="str">
        <f t="shared" si="0"/>
        <v>dept responsible:</v>
      </c>
    </row>
    <row r="67" spans="4:6">
      <c r="D67" t="s">
        <v>55</v>
      </c>
      <c r="F67" t="str">
        <f t="shared" si="0"/>
        <v>raising date:</v>
      </c>
    </row>
    <row r="68" spans="4:6">
      <c r="D68" t="s">
        <v>56</v>
      </c>
      <c r="F68" t="str">
        <f t="shared" si="0"/>
        <v>actual closing date::</v>
      </c>
    </row>
    <row r="69" spans="4:6">
      <c r="D69" t="s">
        <v>3</v>
      </c>
      <c r="E69" t="s">
        <v>12</v>
      </c>
      <c r="F69" t="str">
        <f>CONCATENATE(LOWER(D69))</f>
        <v>machine:</v>
      </c>
    </row>
    <row r="70" spans="4:6">
      <c r="D70" t="s">
        <v>57</v>
      </c>
      <c r="F70" t="str">
        <f>CONCATENATE(LOWER(D70),":")</f>
        <v>action:</v>
      </c>
    </row>
    <row r="71" spans="4:6">
      <c r="D71" t="s">
        <v>13</v>
      </c>
      <c r="F71" t="str">
        <f>CONCATENATE(LOWER(D71))</f>
        <v/>
      </c>
    </row>
    <row r="72" spans="3:4">
      <c r="C72" t="s">
        <v>58</v>
      </c>
      <c r="D72" t="s">
        <v>140</v>
      </c>
    </row>
    <row r="73" spans="4:4">
      <c r="D73" t="s">
        <v>59</v>
      </c>
    </row>
    <row r="74" spans="4:5">
      <c r="D74" t="s">
        <v>60</v>
      </c>
      <c r="E74" t="s">
        <v>61</v>
      </c>
    </row>
    <row r="75" spans="4:5">
      <c r="D75" t="s">
        <v>62</v>
      </c>
      <c r="E75" s="17" t="s">
        <v>63</v>
      </c>
    </row>
    <row r="76" spans="4:6">
      <c r="D76" t="s">
        <v>64</v>
      </c>
      <c r="E76" t="s">
        <v>65</v>
      </c>
      <c r="F76" t="b">
        <v>1</v>
      </c>
    </row>
    <row r="77" spans="5:6">
      <c r="E77" t="s">
        <v>66</v>
      </c>
      <c r="F77" t="b">
        <v>1</v>
      </c>
    </row>
    <row r="78" spans="5:9">
      <c r="E78" t="s">
        <v>67</v>
      </c>
      <c r="I78" t="str">
        <f t="shared" ref="I78:I83" si="1">UPPER(D79)</f>
        <v/>
      </c>
    </row>
    <row r="79" spans="5:9">
      <c r="E79" t="s">
        <v>68</v>
      </c>
      <c r="H79" t="s">
        <v>69</v>
      </c>
      <c r="I79" t="str">
        <f t="shared" si="1"/>
        <v/>
      </c>
    </row>
    <row r="80" spans="5:9">
      <c r="E80" t="s">
        <v>70</v>
      </c>
      <c r="H80" t="s">
        <v>71</v>
      </c>
      <c r="I80" t="str">
        <f t="shared" si="1"/>
        <v/>
      </c>
    </row>
    <row r="81" spans="5:9">
      <c r="E81" t="s">
        <v>72</v>
      </c>
      <c r="I81" t="str">
        <f t="shared" si="1"/>
        <v/>
      </c>
    </row>
    <row r="82" spans="5:9">
      <c r="E82" t="s">
        <v>73</v>
      </c>
      <c r="I82" t="str">
        <f t="shared" si="1"/>
        <v/>
      </c>
    </row>
    <row r="83" spans="5:9">
      <c r="E83" t="s">
        <v>74</v>
      </c>
      <c r="F83" t="b">
        <v>1</v>
      </c>
      <c r="I83" t="str">
        <f t="shared" si="1"/>
        <v/>
      </c>
    </row>
    <row r="84" spans="9:9">
      <c r="I84" t="e">
        <f>UPPER(#REF!)</f>
        <v>#REF!</v>
      </c>
    </row>
    <row r="85" spans="9:9">
      <c r="I85" t="str">
        <f t="shared" ref="I78:I92" si="2">UPPER(D85)</f>
        <v/>
      </c>
    </row>
    <row r="86" spans="9:9">
      <c r="I86" t="str">
        <f t="shared" si="2"/>
        <v/>
      </c>
    </row>
    <row r="87" spans="9:9">
      <c r="I87" t="str">
        <f t="shared" si="2"/>
        <v/>
      </c>
    </row>
    <row r="88" spans="9:9">
      <c r="I88" t="str">
        <f t="shared" si="2"/>
        <v/>
      </c>
    </row>
    <row r="89" spans="9:9">
      <c r="I89" t="str">
        <f t="shared" si="2"/>
        <v/>
      </c>
    </row>
    <row r="90" spans="9:9">
      <c r="I90" t="str">
        <f t="shared" si="2"/>
        <v/>
      </c>
    </row>
    <row r="91" spans="9:9">
      <c r="I91" t="str">
        <f t="shared" si="2"/>
        <v/>
      </c>
    </row>
    <row r="92" spans="9:9">
      <c r="I92" t="str">
        <f t="shared" si="2"/>
        <v/>
      </c>
    </row>
  </sheetData>
  <hyperlinks>
    <hyperlink ref="E75" r:id="rId2" display="admin@12345"/>
  </hyperlink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0"/>
  <sheetViews>
    <sheetView tabSelected="1" workbookViewId="0">
      <selection activeCell="B30" sqref="B30"/>
    </sheetView>
  </sheetViews>
  <sheetFormatPr defaultColWidth="9.14285714285714" defaultRowHeight="15" outlineLevelCol="5"/>
  <cols>
    <col min="2" max="2" width="99.4285714285714" customWidth="1"/>
    <col min="3" max="3" width="8.85714285714286" customWidth="1"/>
    <col min="4" max="4" width="45.7142857142857" customWidth="1"/>
    <col min="5" max="5" width="16.1428571428571" style="2" customWidth="1"/>
    <col min="6" max="6" width="49.4285714285714" customWidth="1"/>
  </cols>
  <sheetData>
    <row r="2" spans="2:6">
      <c r="B2" s="3" t="s">
        <v>75</v>
      </c>
      <c r="C2" s="3" t="s">
        <v>76</v>
      </c>
      <c r="D2" s="3" t="s">
        <v>77</v>
      </c>
      <c r="E2" s="4" t="s">
        <v>78</v>
      </c>
      <c r="F2" s="3" t="s">
        <v>79</v>
      </c>
    </row>
    <row r="3" spans="1:6">
      <c r="A3">
        <v>1</v>
      </c>
      <c r="B3" s="5" t="s">
        <v>80</v>
      </c>
      <c r="C3" s="5" t="s">
        <v>81</v>
      </c>
      <c r="D3" s="5" t="s">
        <v>82</v>
      </c>
      <c r="E3" s="6" t="s">
        <v>83</v>
      </c>
      <c r="F3" s="5" t="s">
        <v>84</v>
      </c>
    </row>
    <row r="4" spans="1:6">
      <c r="A4">
        <v>2</v>
      </c>
      <c r="B4" s="5" t="s">
        <v>141</v>
      </c>
      <c r="C4" s="5" t="s">
        <v>81</v>
      </c>
      <c r="D4" s="5" t="s">
        <v>86</v>
      </c>
      <c r="E4" s="6" t="s">
        <v>83</v>
      </c>
      <c r="F4" s="5" t="s">
        <v>87</v>
      </c>
    </row>
    <row r="5" spans="1:6">
      <c r="A5">
        <v>3</v>
      </c>
      <c r="B5" s="5" t="s">
        <v>88</v>
      </c>
      <c r="C5" s="5" t="s">
        <v>81</v>
      </c>
      <c r="D5" s="5" t="s">
        <v>142</v>
      </c>
      <c r="E5" s="6" t="s">
        <v>83</v>
      </c>
      <c r="F5" s="5" t="s">
        <v>84</v>
      </c>
    </row>
    <row r="6" spans="1:6">
      <c r="A6">
        <v>4</v>
      </c>
      <c r="B6" s="5" t="s">
        <v>90</v>
      </c>
      <c r="C6" s="5" t="s">
        <v>81</v>
      </c>
      <c r="D6" s="5" t="s">
        <v>91</v>
      </c>
      <c r="E6" s="6" t="s">
        <v>83</v>
      </c>
      <c r="F6" s="5" t="s">
        <v>84</v>
      </c>
    </row>
    <row r="7" spans="1:6">
      <c r="A7">
        <v>5</v>
      </c>
      <c r="B7" s="5" t="s">
        <v>92</v>
      </c>
      <c r="C7" s="5" t="s">
        <v>93</v>
      </c>
      <c r="D7" s="5" t="s">
        <v>83</v>
      </c>
      <c r="E7" s="6" t="s">
        <v>83</v>
      </c>
      <c r="F7" s="5" t="s">
        <v>94</v>
      </c>
    </row>
    <row r="8" spans="1:6">
      <c r="A8">
        <v>6</v>
      </c>
      <c r="B8" s="5" t="s">
        <v>95</v>
      </c>
      <c r="C8" s="5" t="s">
        <v>81</v>
      </c>
      <c r="D8" s="5" t="s">
        <v>96</v>
      </c>
      <c r="E8" s="6" t="s">
        <v>83</v>
      </c>
      <c r="F8" s="5" t="s">
        <v>97</v>
      </c>
    </row>
    <row r="9" spans="1:6">
      <c r="A9">
        <v>7</v>
      </c>
      <c r="B9" s="5" t="s">
        <v>98</v>
      </c>
      <c r="C9" s="5" t="s">
        <v>81</v>
      </c>
      <c r="D9" s="5" t="s">
        <v>99</v>
      </c>
      <c r="E9" s="6" t="s">
        <v>83</v>
      </c>
      <c r="F9" s="5" t="s">
        <v>100</v>
      </c>
    </row>
    <row r="10" spans="1:6">
      <c r="A10">
        <v>8</v>
      </c>
      <c r="B10" s="7" t="s">
        <v>101</v>
      </c>
      <c r="C10" s="7" t="s">
        <v>93</v>
      </c>
      <c r="D10" s="7" t="s">
        <v>102</v>
      </c>
      <c r="E10" s="8" t="s">
        <v>83</v>
      </c>
      <c r="F10" s="7" t="s">
        <v>103</v>
      </c>
    </row>
    <row r="11" spans="1:6">
      <c r="A11">
        <v>9</v>
      </c>
      <c r="B11" s="7" t="s">
        <v>104</v>
      </c>
      <c r="C11" s="7" t="s">
        <v>93</v>
      </c>
      <c r="D11" s="7" t="s">
        <v>102</v>
      </c>
      <c r="E11" s="8" t="s">
        <v>83</v>
      </c>
      <c r="F11" s="7" t="s">
        <v>105</v>
      </c>
    </row>
    <row r="12" s="1" customFormat="1" spans="1:6">
      <c r="A12" s="1">
        <v>10</v>
      </c>
      <c r="B12" s="9" t="s">
        <v>106</v>
      </c>
      <c r="C12" s="9" t="s">
        <v>107</v>
      </c>
      <c r="D12" s="9" t="s">
        <v>108</v>
      </c>
      <c r="E12" s="10" t="s">
        <v>83</v>
      </c>
      <c r="F12" s="9" t="s">
        <v>109</v>
      </c>
    </row>
    <row r="13" spans="1:6">
      <c r="A13">
        <v>11</v>
      </c>
      <c r="B13" s="7" t="s">
        <v>110</v>
      </c>
      <c r="C13" s="7" t="s">
        <v>81</v>
      </c>
      <c r="D13" s="7" t="s">
        <v>111</v>
      </c>
      <c r="E13" s="8" t="s">
        <v>83</v>
      </c>
      <c r="F13" s="9" t="s">
        <v>109</v>
      </c>
    </row>
    <row r="14" spans="1:6">
      <c r="A14">
        <v>12</v>
      </c>
      <c r="B14" s="7" t="s">
        <v>112</v>
      </c>
      <c r="C14" s="7" t="s">
        <v>81</v>
      </c>
      <c r="D14" s="7" t="s">
        <v>113</v>
      </c>
      <c r="E14" s="8" t="s">
        <v>83</v>
      </c>
      <c r="F14" s="9" t="s">
        <v>109</v>
      </c>
    </row>
    <row r="15" spans="1:6">
      <c r="A15">
        <v>13</v>
      </c>
      <c r="B15" s="7" t="s">
        <v>114</v>
      </c>
      <c r="C15" s="7" t="s">
        <v>81</v>
      </c>
      <c r="D15" s="7" t="s">
        <v>115</v>
      </c>
      <c r="E15" s="8" t="s">
        <v>83</v>
      </c>
      <c r="F15" s="7" t="s">
        <v>116</v>
      </c>
    </row>
    <row r="16" spans="1:6">
      <c r="A16">
        <v>14</v>
      </c>
      <c r="B16" s="7" t="s">
        <v>117</v>
      </c>
      <c r="C16" s="7" t="s">
        <v>81</v>
      </c>
      <c r="D16" s="7" t="s">
        <v>115</v>
      </c>
      <c r="E16" s="8" t="s">
        <v>83</v>
      </c>
      <c r="F16" s="7" t="s">
        <v>118</v>
      </c>
    </row>
    <row r="17" spans="1:6">
      <c r="A17">
        <v>15</v>
      </c>
      <c r="B17" s="7" t="s">
        <v>143</v>
      </c>
      <c r="C17" s="7" t="s">
        <v>93</v>
      </c>
      <c r="D17" s="7" t="s">
        <v>120</v>
      </c>
      <c r="E17" s="8" t="s">
        <v>83</v>
      </c>
      <c r="F17" s="7" t="s">
        <v>121</v>
      </c>
    </row>
    <row r="18" spans="1:6">
      <c r="A18">
        <v>16</v>
      </c>
      <c r="B18" s="7" t="s">
        <v>122</v>
      </c>
      <c r="C18" s="7" t="s">
        <v>93</v>
      </c>
      <c r="D18" s="7" t="s">
        <v>123</v>
      </c>
      <c r="E18" s="8" t="s">
        <v>83</v>
      </c>
      <c r="F18" s="7" t="s">
        <v>124</v>
      </c>
    </row>
    <row r="19" spans="1:6">
      <c r="A19">
        <v>17</v>
      </c>
      <c r="B19" s="7" t="s">
        <v>125</v>
      </c>
      <c r="C19" s="7" t="s">
        <v>93</v>
      </c>
      <c r="D19" s="7" t="s">
        <v>126</v>
      </c>
      <c r="E19" s="8" t="s">
        <v>83</v>
      </c>
      <c r="F19" s="7" t="s">
        <v>127</v>
      </c>
    </row>
    <row r="20" spans="1:6">
      <c r="A20">
        <v>18</v>
      </c>
      <c r="B20" s="7" t="s">
        <v>128</v>
      </c>
      <c r="C20" s="7" t="s">
        <v>81</v>
      </c>
      <c r="D20" s="7" t="s">
        <v>129</v>
      </c>
      <c r="E20" s="8" t="s">
        <v>83</v>
      </c>
      <c r="F20" s="7" t="s">
        <v>118</v>
      </c>
    </row>
    <row r="21" ht="30" spans="1:6">
      <c r="A21">
        <v>19</v>
      </c>
      <c r="B21" s="5" t="s">
        <v>130</v>
      </c>
      <c r="C21" s="5" t="s">
        <v>81</v>
      </c>
      <c r="D21" s="11" t="s">
        <v>131</v>
      </c>
      <c r="E21" s="6" t="s">
        <v>83</v>
      </c>
      <c r="F21" s="5" t="s">
        <v>118</v>
      </c>
    </row>
    <row r="22" spans="1:6">
      <c r="A22">
        <v>20</v>
      </c>
      <c r="B22" s="5" t="s">
        <v>144</v>
      </c>
      <c r="C22" s="5" t="s">
        <v>93</v>
      </c>
      <c r="D22" s="5" t="s">
        <v>133</v>
      </c>
      <c r="E22" s="6" t="s">
        <v>83</v>
      </c>
      <c r="F22" s="5" t="s">
        <v>134</v>
      </c>
    </row>
    <row r="23" spans="1:6">
      <c r="A23">
        <v>21</v>
      </c>
      <c r="B23" s="5" t="s">
        <v>135</v>
      </c>
      <c r="C23" s="5" t="s">
        <v>81</v>
      </c>
      <c r="D23" s="5" t="s">
        <v>136</v>
      </c>
      <c r="E23" s="6" t="s">
        <v>83</v>
      </c>
      <c r="F23" s="5" t="s">
        <v>134</v>
      </c>
    </row>
    <row r="24" ht="30" spans="1:6">
      <c r="A24">
        <v>22</v>
      </c>
      <c r="B24" s="7" t="s">
        <v>137</v>
      </c>
      <c r="C24" s="7" t="s">
        <v>81</v>
      </c>
      <c r="D24" s="12" t="s">
        <v>138</v>
      </c>
      <c r="E24" s="8" t="s">
        <v>83</v>
      </c>
      <c r="F24" s="7" t="s">
        <v>116</v>
      </c>
    </row>
    <row r="25" spans="1:6">
      <c r="A25">
        <v>23</v>
      </c>
      <c r="B25" s="5" t="s">
        <v>145</v>
      </c>
      <c r="C25" s="13"/>
      <c r="D25" s="13"/>
      <c r="E25" s="14"/>
      <c r="F25" s="13"/>
    </row>
    <row r="26" spans="1:6">
      <c r="A26">
        <v>24</v>
      </c>
      <c r="B26" s="5" t="s">
        <v>146</v>
      </c>
      <c r="C26" s="13"/>
      <c r="D26" s="13"/>
      <c r="E26" s="14"/>
      <c r="F26" s="13"/>
    </row>
    <row r="27" spans="1:6">
      <c r="A27">
        <v>25</v>
      </c>
      <c r="B27" s="5" t="s">
        <v>147</v>
      </c>
      <c r="C27" s="13"/>
      <c r="D27" s="13"/>
      <c r="E27" s="14"/>
      <c r="F27" s="13"/>
    </row>
    <row r="28" spans="1:6">
      <c r="A28">
        <v>26</v>
      </c>
      <c r="B28" s="5" t="s">
        <v>148</v>
      </c>
      <c r="C28" s="13"/>
      <c r="D28" s="13"/>
      <c r="E28" s="14"/>
      <c r="F28" s="13"/>
    </row>
    <row r="29" spans="1:1">
      <c r="A29">
        <v>27</v>
      </c>
    </row>
    <row r="30" spans="1:1">
      <c r="A30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plan 1_1</vt:lpstr>
      <vt:lpstr>Plan 1_2</vt:lpstr>
      <vt:lpstr>plan 2_1</vt:lpstr>
      <vt:lpstr>Plan 2_2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</dc:creator>
  <cp:lastModifiedBy>lokes</cp:lastModifiedBy>
  <dcterms:created xsi:type="dcterms:W3CDTF">2020-11-05T14:34:00Z</dcterms:created>
  <dcterms:modified xsi:type="dcterms:W3CDTF">2020-12-07T11:28:43Z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